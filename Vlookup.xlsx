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"/>
    </mc:Choice>
  </mc:AlternateContent>
  <xr:revisionPtr revIDLastSave="0" documentId="8_{82522613-5BC5-40C5-B087-A6920A2B7C71}" xr6:coauthVersionLast="47" xr6:coauthVersionMax="47" xr10:uidLastSave="{00000000-0000-0000-0000-000000000000}"/>
  <bookViews>
    <workbookView xWindow="-108" yWindow="-108" windowWidth="23256" windowHeight="12456" activeTab="1" xr2:uid="{1F194940-B6A9-4BBB-B8EC-1869206296E9}"/>
  </bookViews>
  <sheets>
    <sheet name="Product" sheetId="1" r:id="rId1"/>
    <sheet name="Or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3" i="2"/>
  <c r="J10" i="2"/>
  <c r="I4" i="2"/>
  <c r="I5" i="2"/>
  <c r="I6" i="2"/>
  <c r="I7" i="2"/>
  <c r="I8" i="2"/>
  <c r="I3" i="2"/>
  <c r="D3" i="2"/>
  <c r="J4" i="2"/>
  <c r="J5" i="2"/>
  <c r="J6" i="2"/>
  <c r="J7" i="2"/>
  <c r="J8" i="2"/>
  <c r="J3" i="2"/>
  <c r="F3" i="2"/>
  <c r="G4" i="2"/>
  <c r="G5" i="2"/>
  <c r="G6" i="2"/>
  <c r="G7" i="2"/>
  <c r="G8" i="2"/>
  <c r="G3" i="2"/>
  <c r="H4" i="2"/>
  <c r="H5" i="2"/>
  <c r="H6" i="2"/>
  <c r="H7" i="2"/>
  <c r="H8" i="2"/>
  <c r="H3" i="2"/>
  <c r="F4" i="2"/>
  <c r="F5" i="2"/>
  <c r="F6" i="2"/>
  <c r="F7" i="2"/>
  <c r="F8" i="2"/>
  <c r="D4" i="2"/>
  <c r="D5" i="2"/>
  <c r="D6" i="2"/>
  <c r="D7" i="2"/>
  <c r="D8" i="2"/>
  <c r="E4" i="2"/>
  <c r="E5" i="2"/>
  <c r="E6" i="2"/>
  <c r="E7" i="2"/>
  <c r="E8" i="2"/>
  <c r="E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tc={CDDCB57A-6C19-430B-894E-79103CCBBDB0}</author>
    <author>tc={24E3DE65-1100-492F-B009-824424CC0D7F}</author>
    <author>tc={4149E28D-7139-462B-B303-278D07B1BA44}</author>
    <author>tc={A1B5C33D-31A9-418B-8FA3-8AB9251D7D08}</author>
    <author>tc={AD8B28CF-F948-4BB7-B6A3-FD8D8E37676F}</author>
    <author>tc={2D73DC15-03D0-4022-8875-417CB82A9612}</author>
    <author>tc={BA5732AE-6803-4622-9141-131F3B3FA018}</author>
    <author>tc={1FF710A1-B5DA-4F24-BF59-3BAF182D8720}</author>
    <author>tc={808A09AA-4AEC-41E8-B589-A28E7D1F0681}</author>
  </authors>
  <commentList>
    <comment ref="D2" authorId="0" shapeId="0" xr:uid="{CDDCB57A-6C19-430B-894E-79103CCBBDB0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VLOOKUP to find the price for each ProductID in the Orders worksheet, then calculate the TotalPrice by multiplying the Quantity by the Product Price.</t>
      </text>
    </comment>
    <comment ref="E2" authorId="1" shapeId="0" xr:uid="{24E3DE65-1100-492F-B009-824424CC0D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Use VLOOKUP to find the product names for each ProductID in the Orders worksheet. 
</t>
      </text>
    </comment>
    <comment ref="F2" authorId="2" shapeId="0" xr:uid="{4149E28D-7139-462B-B303-278D07B1BA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 VLOOKUP to check if there are any ProductIDs in the Orders worksheet that do not exist in the Products worksheet. 
</t>
      </text>
    </comment>
    <comment ref="G2" authorId="3" shapeId="0" xr:uid="{A1B5C33D-31A9-418B-8FA3-8AB9251D7D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Use VLOOKUP to find the original price and then calculate the discounted price. 
</t>
      </text>
    </comment>
    <comment ref="H2" authorId="4" shapeId="0" xr:uid="{AD8B28CF-F948-4BB7-B6A3-FD8D8E37676F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a discount of 10% is given on all products</t>
      </text>
    </comment>
    <comment ref="I2" authorId="5" shapeId="0" xr:uid="{2D73DC15-03D0-4022-8875-417CB82A96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Use VLOOKUP to find the price for each ProductID and then calculate the order value. </t>
      </text>
    </comment>
    <comment ref="J2" authorId="6" shapeId="0" xr:uid="{BA5732AE-6803-4622-9141-131F3B3FA0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Use VLOOKUP to find out which products from the Products worksheet have not been ordered. 
</t>
      </text>
    </comment>
    <comment ref="K2" authorId="7" shapeId="0" xr:uid="{1FF710A1-B5DA-4F24-BF59-3BAF182D8720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VLOOKUP to find the Product name and summarize the total quantity sold for each product.</t>
      </text>
    </comment>
    <comment ref="J9" authorId="8" shapeId="0" xr:uid="{808A09AA-4AEC-41E8-B589-A28E7D1F06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Find the maximum order value from the list. 
</t>
      </text>
    </comment>
  </commentList>
</comments>
</file>

<file path=xl/sharedStrings.xml><?xml version="1.0" encoding="utf-8"?>
<sst xmlns="http://schemas.openxmlformats.org/spreadsheetml/2006/main" count="21" uniqueCount="20">
  <si>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</si>
  <si>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</si>
  <si>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</si>
  <si>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</si>
  <si>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</si>
  <si>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</si>
  <si>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</si>
  <si>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</si>
  <si>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</si>
  <si>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</si>
  <si>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</si>
  <si>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TotalPrice</t>
  </si>
  <si>
    <t>Product Name</t>
  </si>
  <si>
    <t>Apply 10% Discount</t>
  </si>
  <si>
    <t>Product Status</t>
  </si>
  <si>
    <t>Original Price</t>
  </si>
  <si>
    <t>Total Order Value</t>
  </si>
  <si>
    <t xml:space="preserve">             Order status</t>
  </si>
  <si>
    <t>Total Quantity</t>
  </si>
  <si>
    <t xml:space="preserve">        Maximum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</si>
</sst>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ivam sharma" id="{9A9AB931-6BFB-4B80-8879-50DEC0B6DB0F}" userId="9a901ef4c13539ca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B5FFB-D67A-4896-A4D3-70D66C1E0D2D}" name="Table2" displayName="Table2" ref="A2:C8" totalsRowShown="0">
  <autoFilter ref="A2:C8" xr:uid="{E8CB5FFB-D67A-4896-A4D3-70D66C1E0D2D}"/>
  <tableColumns count="3">
    <tableColumn id="1" xr3:uid="{E1382555-DF86-45CC-81E3-C54CA2D5388C}" name="ProductID"/>
    <tableColumn id="2" xr3:uid="{72545F60-0254-444A-9977-31C3DE961F6F}" name="Product"/>
    <tableColumn id="3" xr3:uid="{357C779D-E4C4-4F92-A212-EA35F5DA8597}" name="Pric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83945-C651-402F-B9E0-D60D2FFCC1E8}" name="Table1" displayName="Table1" ref="A2:K8" totalsRowShown="0" headerRowDxfId="0" dataDxfId="1">
  <autoFilter ref="A2:K8" xr:uid="{F2283945-C651-402F-B9E0-D60D2FFCC1E8}"/>
  <tableColumns count="11">
    <tableColumn id="1" xr3:uid="{66C0FE68-66DE-480C-A821-1B7911E882E2}" name="OrderID" dataDxfId="12"/>
    <tableColumn id="2" xr3:uid="{54E58816-3C22-422E-BDE1-FBA5E59A35F6}" name="ProductID" dataDxfId="11"/>
    <tableColumn id="3" xr3:uid="{559681E5-4FE4-45A1-96BC-CFA37382D47B}" name="Quantity" dataDxfId="10"/>
    <tableColumn id="4" xr3:uid="{B31F0117-5D45-4308-97C5-73CB9623F21D}" name="TotalPrice" dataDxfId="9">
      <calculatedColumnFormula>VLOOKUP(B3,Product!$A$2:$C$8,3,0)*C3</calculatedColumnFormula>
    </tableColumn>
    <tableColumn id="5" xr3:uid="{65357E20-C23F-49BD-BC8A-2F76B6325258}" name="Product Name" dataDxfId="8">
      <calculatedColumnFormula>VLOOKUP(B3,Product!$A$2:$C$8,2,FALSE)</calculatedColumnFormula>
    </tableColumn>
    <tableColumn id="6" xr3:uid="{0D0A78EE-8319-44E0-AC0F-3568FA533664}" name="Product Status" dataDxfId="7">
      <calculatedColumnFormula>IF(VLOOKUP(B3,Product!$A$2:$C$8,1,0),"Exist","NotExist")</calculatedColumnFormula>
    </tableColumn>
    <tableColumn id="7" xr3:uid="{A1107629-FC03-43A1-AB4F-AFB9F8B5B0CB}" name="Original Price" dataDxfId="6">
      <calculatedColumnFormula>VLOOKUP(B3,Product!A$2:C$8,3,0)</calculatedColumnFormula>
    </tableColumn>
    <tableColumn id="8" xr3:uid="{F65F6E57-049B-4997-BA6F-657040D61ECF}" name="Apply 10% Discount" dataDxfId="5">
      <calculatedColumnFormula>VLOOKUP(B3,Product!$A$2:$C$8,3,0)*0.9</calculatedColumnFormula>
    </tableColumn>
    <tableColumn id="9" xr3:uid="{63AA2E4D-5F48-42D4-9B26-0E4E970A8676}" name="Total Order Value" dataDxfId="4">
      <calculatedColumnFormula>VLOOKUP(B3,Product!$A$2:$C$8,3,0)*C3</calculatedColumnFormula>
    </tableColumn>
    <tableColumn id="10" xr3:uid="{87F2C145-22CD-4A9E-83E9-76DFA1E1FF0C}" name="             Order status" dataDxfId="3">
      <calculatedColumnFormula>IF(VLOOKUP(B3,Product!$A$2:$C$8,1,0),"Order","NotOrder")</calculatedColumnFormula>
    </tableColumn>
    <tableColumn id="11" xr3:uid="{BF853427-7748-409D-A83A-53FD2ADA5608}" name="Total Quantity" dataDxfId="2">
      <calculatedColumnFormula>SUMIF(Product!$A$2:$A$8,Order!B3,Order!$C$2:$C$8)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5-12-27T17:54:02.42" personId="{9A9AB931-6BFB-4B80-8879-50DEC0B6DB0F}" id="{CDDCB57A-6C19-430B-894E-79103CCBBDB0}">
    <text>Use VLOOKUP to find the price for each ProductID in the Orders worksheet, then calculate the TotalPrice by multiplying the Quantity by the Product Price.</text>
  </threadedComment>
  <threadedComment ref="E2" dT="2025-12-27T17:48:56.50" personId="{9A9AB931-6BFB-4B80-8879-50DEC0B6DB0F}" id="{24E3DE65-1100-492F-B009-824424CC0D7F}">
    <text xml:space="preserve"> Use VLOOKUP to find the product names for each ProductID in the Orders worksheet. 
</text>
  </threadedComment>
  <threadedComment ref="F2" dT="2025-12-27T17:54:29.06" personId="{9A9AB931-6BFB-4B80-8879-50DEC0B6DB0F}" id="{4149E28D-7139-462B-B303-278D07B1BA44}">
    <text xml:space="preserve">Use VLOOKUP to check if there are any ProductIDs in the Orders worksheet that do not exist in the Products worksheet. 
</text>
  </threadedComment>
  <threadedComment ref="G2" dT="2025-12-27T17:51:36.57" personId="{9A9AB931-6BFB-4B80-8879-50DEC0B6DB0F}" id="{A1B5C33D-31A9-418B-8FA3-8AB9251D7D08}">
    <text xml:space="preserve">
Use VLOOKUP to find the original price and then calculate the discounted price. 
</text>
  </threadedComment>
  <threadedComment ref="H2" dT="2025-12-27T17:52:18.18" personId="{9A9AB931-6BFB-4B80-8879-50DEC0B6DB0F}" id="{AD8B28CF-F948-4BB7-B6A3-FD8D8E37676F}">
    <text>Assume a discount of 10% is given on all products</text>
  </threadedComment>
  <threadedComment ref="I2" dT="2025-12-27T17:56:37.12" personId="{9A9AB931-6BFB-4B80-8879-50DEC0B6DB0F}" id="{2D73DC15-03D0-4022-8875-417CB82A9612}">
    <text xml:space="preserve"> Use VLOOKUP to find the price for each ProductID and then calculate the order value. </text>
  </threadedComment>
  <threadedComment ref="J2" dT="2025-12-27T17:57:28.79" personId="{9A9AB931-6BFB-4B80-8879-50DEC0B6DB0F}" id="{BA5732AE-6803-4622-9141-131F3B3FA018}">
    <text xml:space="preserve"> Use VLOOKUP to find out which products from the Products worksheet have not been ordered. 
</text>
  </threadedComment>
  <threadedComment ref="K2" dT="2025-12-27T17:57:50.33" personId="{9A9AB931-6BFB-4B80-8879-50DEC0B6DB0F}" id="{1FF710A1-B5DA-4F24-BF59-3BAF182D8720}">
    <text>Use VLOOKUP to find the Product name and summarize the total quantity sold for each product.</text>
  </threadedComment>
  <threadedComment ref="J9" dT="2025-12-27T17:57:04.63" personId="{9A9AB931-6BFB-4B80-8879-50DEC0B6DB0F}" id="{808A09AA-4AEC-41E8-B589-A28E7D1F0681}">
    <text xml:space="preserve">Find the maximum order value from the list. 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027A-5B52-440C-944B-1C8CC76D7D02}">
  <dimension ref="A2:C8"/>
  <sheetViews>
    <sheetView workbookViewId="0">
      <selection activeCell="B15" sqref="B15"/>
    </sheetView>
  </sheetViews>
  <sheetFormatPr defaultRowHeight="14.4" x14ac:dyDescent="0.3"/>
  <cols>
    <col min="1" max="1" width="11.33203125" customWidth="1"/>
    <col min="2" max="2" width="9.5546875" customWidth="1"/>
    <col min="4" max="4" width="12.5546875" customWidth="1"/>
  </cols>
  <sheetData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101</v>
      </c>
      <c r="B3" t="s">
        <v>3</v>
      </c>
      <c r="C3">
        <v>120</v>
      </c>
    </row>
    <row r="4" spans="1:3" x14ac:dyDescent="0.3">
      <c r="A4">
        <v>102</v>
      </c>
      <c r="B4" t="s">
        <v>4</v>
      </c>
      <c r="C4">
        <v>150</v>
      </c>
    </row>
    <row r="5" spans="1:3" x14ac:dyDescent="0.3">
      <c r="A5">
        <v>103</v>
      </c>
      <c r="B5" t="s">
        <v>5</v>
      </c>
      <c r="C5">
        <v>200</v>
      </c>
    </row>
    <row r="6" spans="1:3" x14ac:dyDescent="0.3">
      <c r="A6">
        <v>104</v>
      </c>
      <c r="B6" t="s">
        <v>6</v>
      </c>
      <c r="C6">
        <v>90</v>
      </c>
    </row>
    <row r="7" spans="1:3" x14ac:dyDescent="0.3">
      <c r="A7">
        <v>105</v>
      </c>
      <c r="B7" t="s">
        <v>7</v>
      </c>
      <c r="C7">
        <v>220</v>
      </c>
    </row>
    <row r="8" spans="1:3" x14ac:dyDescent="0.3">
      <c r="A8">
        <v>106</v>
      </c>
      <c r="B8" t="s">
        <v>8</v>
      </c>
      <c r="C8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60B2-BCC9-4C63-9F3F-5F9EE2199942}">
  <dimension ref="A2:K10"/>
  <sheetViews>
    <sheetView tabSelected="1" zoomScale="111" workbookViewId="0">
      <selection activeCell="J15" sqref="J15"/>
    </sheetView>
  </sheetViews>
  <sheetFormatPr defaultRowHeight="14.4" x14ac:dyDescent="0.3"/>
  <cols>
    <col min="1" max="1" width="10.21875" customWidth="1"/>
    <col min="2" max="2" width="11.33203125" customWidth="1"/>
    <col min="3" max="3" width="10.21875" customWidth="1"/>
    <col min="4" max="4" width="11.21875" customWidth="1"/>
    <col min="5" max="5" width="15" customWidth="1"/>
    <col min="6" max="6" width="15.21875" customWidth="1"/>
    <col min="7" max="7" width="13.88671875" customWidth="1"/>
    <col min="8" max="8" width="19.44140625" customWidth="1"/>
    <col min="9" max="9" width="17.5546875" customWidth="1"/>
    <col min="10" max="10" width="23.88671875" bestFit="1" customWidth="1"/>
    <col min="11" max="11" width="14.88671875" customWidth="1"/>
    <col min="12" max="12" width="14.77734375" customWidth="1"/>
  </cols>
  <sheetData>
    <row r="2" spans="1:11" x14ac:dyDescent="0.3">
      <c r="A2" s="1" t="s">
        <v>9</v>
      </c>
      <c r="B2" s="1" t="s">
        <v>0</v>
      </c>
      <c r="C2" s="1" t="s">
        <v>10</v>
      </c>
      <c r="D2" s="1" t="s">
        <v>11</v>
      </c>
      <c r="E2" s="1" t="s">
        <v>12</v>
      </c>
      <c r="F2" s="1" t="s">
        <v>14</v>
      </c>
      <c r="G2" s="1" t="s">
        <v>15</v>
      </c>
      <c r="H2" s="1" t="s">
        <v>13</v>
      </c>
      <c r="I2" s="1" t="s">
        <v>16</v>
      </c>
      <c r="J2" s="2" t="s">
        <v>17</v>
      </c>
      <c r="K2" s="1" t="s">
        <v>18</v>
      </c>
    </row>
    <row r="3" spans="1:11" x14ac:dyDescent="0.3">
      <c r="A3" s="1">
        <v>1</v>
      </c>
      <c r="B3" s="1">
        <v>101</v>
      </c>
      <c r="C3" s="1">
        <v>2</v>
      </c>
      <c r="D3" s="1">
        <f>VLOOKUP(B3,Product!$A$2:$C$8,3,0)*C3</f>
        <v>240</v>
      </c>
      <c r="E3" s="1" t="str">
        <f>VLOOKUP(B3,Product!$A$2:$C$8,2,FALSE)</f>
        <v>Product A</v>
      </c>
      <c r="F3" s="1" t="str">
        <f>IF(VLOOKUP(B3,Product!$A$2:$C$8,1,0),"Exist","NotExist")</f>
        <v>Exist</v>
      </c>
      <c r="G3" s="1">
        <f>VLOOKUP(B3,Product!A$2:C$8,3,0)</f>
        <v>120</v>
      </c>
      <c r="H3" s="1">
        <f>VLOOKUP(B3,Product!$A$2:$C$8,3,0)*0.9</f>
        <v>108</v>
      </c>
      <c r="I3" s="1">
        <f>VLOOKUP(B3,Product!$A$2:$C$8,3,0)*C3</f>
        <v>240</v>
      </c>
      <c r="J3" s="1" t="str">
        <f>IF(VLOOKUP(B3,Product!$A$2:$C$8,1,0),"Order","NotOrder")</f>
        <v>Order</v>
      </c>
      <c r="K3" s="1">
        <f>SUMIF(Product!$A$2:$A$8,Order!B3,Order!$C$2:$C$8)</f>
        <v>2</v>
      </c>
    </row>
    <row r="4" spans="1:11" x14ac:dyDescent="0.3">
      <c r="A4" s="1">
        <v>2</v>
      </c>
      <c r="B4" s="1">
        <v>103</v>
      </c>
      <c r="C4" s="1">
        <v>1</v>
      </c>
      <c r="D4" s="1">
        <f>VLOOKUP(B4,Product!$A$2:$C$8,3,0)*C4</f>
        <v>200</v>
      </c>
      <c r="E4" s="1" t="str">
        <f>VLOOKUP(B4,Product!$A$2:$C$8,2,FALSE)</f>
        <v>Product C</v>
      </c>
      <c r="F4" s="1" t="str">
        <f>IF(VLOOKUP(B4,Product!$A$2:$C$8,1,0),"Exist","NotExist")</f>
        <v>Exist</v>
      </c>
      <c r="G4" s="1">
        <f>VLOOKUP(B4,Product!A$2:C$8,3,0)</f>
        <v>200</v>
      </c>
      <c r="H4" s="1">
        <f>VLOOKUP(B4,Product!$A$2:$C$8,3,0)*0.9</f>
        <v>180</v>
      </c>
      <c r="I4" s="1">
        <f>VLOOKUP(B4,Product!$A$2:$C$8,3,0)*C4</f>
        <v>200</v>
      </c>
      <c r="J4" s="1" t="str">
        <f>IF(VLOOKUP(B4,Product!$A$2:$C$8,1,0),"Order","NotOrder")</f>
        <v>Order</v>
      </c>
      <c r="K4" s="1">
        <f>SUMIF(Product!$A$2:$A$8,Order!B4,Order!$C$2:$C$8)</f>
        <v>4</v>
      </c>
    </row>
    <row r="5" spans="1:11" x14ac:dyDescent="0.3">
      <c r="A5" s="1">
        <v>3</v>
      </c>
      <c r="B5" s="1">
        <v>105</v>
      </c>
      <c r="C5" s="1">
        <v>4</v>
      </c>
      <c r="D5" s="1">
        <f>VLOOKUP(B5,Product!$A$2:$C$8,3,0)*C5</f>
        <v>880</v>
      </c>
      <c r="E5" s="1" t="str">
        <f>VLOOKUP(B5,Product!$A$2:$C$8,2,FALSE)</f>
        <v>Product E</v>
      </c>
      <c r="F5" s="1" t="str">
        <f>IF(VLOOKUP(B5,Product!$A$2:$C$8,1,0),"Exist","NotExist")</f>
        <v>Exist</v>
      </c>
      <c r="G5" s="1">
        <f>VLOOKUP(B5,Product!A$2:C$8,3,0)</f>
        <v>220</v>
      </c>
      <c r="H5" s="1">
        <f>VLOOKUP(B5,Product!$A$2:$C$8,3,0)*0.9</f>
        <v>198</v>
      </c>
      <c r="I5" s="1">
        <f>VLOOKUP(B5,Product!$A$2:$C$8,3,0)*C5</f>
        <v>880</v>
      </c>
      <c r="J5" s="1" t="str">
        <f>IF(VLOOKUP(B5,Product!$A$2:$C$8,1,0),"Order","NotOrder")</f>
        <v>Order</v>
      </c>
      <c r="K5" s="1">
        <f>SUMIF(Product!$A$2:$A$8,Order!B5,Order!$C$2:$C$8)</f>
        <v>5</v>
      </c>
    </row>
    <row r="6" spans="1:11" x14ac:dyDescent="0.3">
      <c r="A6" s="1">
        <v>4</v>
      </c>
      <c r="B6" s="1">
        <v>106</v>
      </c>
      <c r="C6" s="1">
        <v>3</v>
      </c>
      <c r="D6" s="1">
        <f>VLOOKUP(B6,Product!$A$2:$C$8,3,0)*C6</f>
        <v>390</v>
      </c>
      <c r="E6" s="1" t="str">
        <f>VLOOKUP(B6,Product!$A$2:$C$8,2,FALSE)</f>
        <v>Product F</v>
      </c>
      <c r="F6" s="1" t="str">
        <f>IF(VLOOKUP(B6,Product!$A$2:$C$8,1,0),"Exist","NotExist")</f>
        <v>Exist</v>
      </c>
      <c r="G6" s="1">
        <f>VLOOKUP(B6,Product!A$2:C$8,3,0)</f>
        <v>130</v>
      </c>
      <c r="H6" s="1">
        <f>VLOOKUP(B6,Product!$A$2:$C$8,3,0)*0.9</f>
        <v>117</v>
      </c>
      <c r="I6" s="1">
        <f>VLOOKUP(B6,Product!$A$2:$C$8,3,0)*C6</f>
        <v>390</v>
      </c>
      <c r="J6" s="1" t="str">
        <f>IF(VLOOKUP(B6,Product!$A$2:$C$8,1,0),"Order","NotOrder")</f>
        <v>Order</v>
      </c>
      <c r="K6" s="1">
        <f>SUMIF(Product!$A$2:$A$8,Order!B6,Order!$C$2:$C$8)</f>
        <v>6</v>
      </c>
    </row>
    <row r="7" spans="1:11" x14ac:dyDescent="0.3">
      <c r="A7" s="1">
        <v>5</v>
      </c>
      <c r="B7" s="1">
        <v>102</v>
      </c>
      <c r="C7" s="1">
        <v>5</v>
      </c>
      <c r="D7" s="1">
        <f>VLOOKUP(B7,Product!$A$2:$C$8,3,0)*C7</f>
        <v>750</v>
      </c>
      <c r="E7" s="1" t="str">
        <f>VLOOKUP(B7,Product!$A$2:$C$8,2,FALSE)</f>
        <v>Product B</v>
      </c>
      <c r="F7" s="1" t="str">
        <f>IF(VLOOKUP(B7,Product!$A$2:$C$8,1,0),"Exist","NotExist")</f>
        <v>Exist</v>
      </c>
      <c r="G7" s="1">
        <f>VLOOKUP(B7,Product!A$2:C$8,3,0)</f>
        <v>150</v>
      </c>
      <c r="H7" s="1">
        <f>VLOOKUP(B7,Product!$A$2:$C$8,3,0)*0.9</f>
        <v>135</v>
      </c>
      <c r="I7" s="1">
        <f>VLOOKUP(B7,Product!$A$2:$C$8,3,0)*C7</f>
        <v>750</v>
      </c>
      <c r="J7" s="1" t="str">
        <f>IF(VLOOKUP(B7,Product!$A$2:$C$8,1,0),"Order","NotOrder")</f>
        <v>Order</v>
      </c>
      <c r="K7" s="1">
        <f>SUMIF(Product!$A$2:$A$8,Order!B7,Order!$C$2:$C$8)</f>
        <v>1</v>
      </c>
    </row>
    <row r="8" spans="1:11" x14ac:dyDescent="0.3">
      <c r="A8" s="1">
        <v>6</v>
      </c>
      <c r="B8" s="1">
        <v>104</v>
      </c>
      <c r="C8" s="1">
        <v>6</v>
      </c>
      <c r="D8" s="1">
        <f>VLOOKUP(B8,Product!$A$2:$C$8,3,0)*C8</f>
        <v>540</v>
      </c>
      <c r="E8" s="1" t="str">
        <f>VLOOKUP(B8,Product!$A$2:$C$8,2,FALSE)</f>
        <v>Product D</v>
      </c>
      <c r="F8" s="1" t="str">
        <f>IF(VLOOKUP(B8,Product!$A$2:$C$8,1,0),"Exist","NotExist")</f>
        <v>Exist</v>
      </c>
      <c r="G8" s="1">
        <f>VLOOKUP(B8,Product!A$2:C$8,3,0)</f>
        <v>90</v>
      </c>
      <c r="H8" s="1">
        <f>VLOOKUP(B8,Product!$A$2:$C$8,3,0)*0.9</f>
        <v>81</v>
      </c>
      <c r="I8" s="1">
        <f>VLOOKUP(B8,Product!$A$2:$C$8,3,0)*C8</f>
        <v>540</v>
      </c>
      <c r="J8" s="1" t="str">
        <f>IF(VLOOKUP(B8,Product!$A$2:$C$8,1,0),"Order","NotOrder")</f>
        <v>Order</v>
      </c>
      <c r="K8" s="1">
        <f>SUMIF(Product!$A$2:$A$8,Order!B8,Order!$C$2:$C$8)</f>
        <v>3</v>
      </c>
    </row>
    <row r="9" spans="1:11" x14ac:dyDescent="0.3">
      <c r="A9" s="1"/>
      <c r="B9" s="1"/>
      <c r="C9" s="1"/>
      <c r="D9" s="1"/>
      <c r="E9" s="1"/>
      <c r="F9" s="1"/>
      <c r="G9" s="1"/>
      <c r="H9" s="1"/>
      <c r="I9" s="1"/>
      <c r="J9" s="3" t="s">
        <v>19</v>
      </c>
      <c r="K9" s="1"/>
    </row>
    <row r="10" spans="1:11" x14ac:dyDescent="0.3">
      <c r="J10" s="4">
        <f>MAX(D3:D8)</f>
        <v>880</v>
      </c>
      <c r="K10" s="1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sharma</dc:creator>
  <cp:lastModifiedBy>shivam sharma</cp:lastModifiedBy>
  <dcterms:created xsi:type="dcterms:W3CDTF">2025-12-27T08:37:16Z</dcterms:created>
  <dcterms:modified xsi:type="dcterms:W3CDTF">2025-12-27T17:58:51Z</dcterms:modified>
</cp:coreProperties>
</file>